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Baseline Metrics" sheetId="2" r:id="rId6"/>
    <sheet state="visible" name="Oportunities &amp; ROI Summary" sheetId="3" r:id="rId7"/>
    <sheet state="visible" name="Calculations" sheetId="4" r:id="rId8"/>
    <sheet state="visible" name="Sensitivity Analysis" sheetId="5" r:id="rId9"/>
    <sheet state="visible" name="Ranked View (conservative)" sheetId="6" r:id="rId10"/>
    <sheet state="visible" name="Ranked View (optimistic)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tc={0263eb3a-ef94-4995-be95-43939683b5b4}</author>
    <author>tc={5048db4e-630c-497e-acda-688129d20c2c}</author>
    <author>tc={bde09f39-7e7a-4da9-afdb-e6cac926569c}</author>
    <author>tc={c3d3c6f5-8895-4a47-8bf2-7ddcb567162e}</author>
    <author>tc={cd95a824-3b64-45d2-a982-2ae68b73a91c}</author>
  </authors>
  <commentList>
    <comment authorId="0" xr:uid="{0263eb3a-ef94-4995-be95-43939683b5b4}" ref="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Hours spent in in early delinquency accounts spread over a year
</t>
      </text>
    </comment>
    <comment authorId="1" xr:uid="{5048db4e-630c-497e-acda-688129d20c2c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straightforward case volume timed by average agent time in a case timed by the agent hourly salary
</t>
      </text>
    </comment>
    <comment authorId="2" xr:uid="{bde09f39-7e7a-4da9-afdb-e6cac926569c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Hours spent on manual work timed by agent hourly wage.
</t>
      </text>
    </comment>
    <comment authorId="3" xr:uid="{c3d3c6f5-8895-4a47-8bf2-7ddcb567162e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Wasted hours on duplicates timed by the agents hourly pay
</t>
      </text>
    </comment>
    <comment authorId="4" xr:uid="{cd95a824-3b64-45d2-a982-2ae68b73a91c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Hours spent on both spreadsheet reconciliation and unclear actions time by agent's hourly wage.
</t>
      </text>
    </comment>
  </commentList>
</comments>
</file>

<file path=xl/sharedStrings.xml><?xml version="1.0" encoding="utf-8"?>
<sst xmlns="http://schemas.openxmlformats.org/spreadsheetml/2006/main" count="214" uniqueCount="119">
  <si>
    <t>Assumption Name</t>
  </si>
  <si>
    <t>Metric</t>
  </si>
  <si>
    <t>Automation Oportunity</t>
  </si>
  <si>
    <t>Value</t>
  </si>
  <si>
    <t>Unit</t>
  </si>
  <si>
    <t>Implementation Cost (£)</t>
  </si>
  <si>
    <t>Source</t>
  </si>
  <si>
    <t>Implementation Effort (months)</t>
  </si>
  <si>
    <t>Confidence Level</t>
  </si>
  <si>
    <t>Annual Operational Time Saving (hours)</t>
  </si>
  <si>
    <t>Notes</t>
  </si>
  <si>
    <t>Total Annual Benefit £</t>
  </si>
  <si>
    <t>Units</t>
  </si>
  <si>
    <t>agent_hourly_cost</t>
  </si>
  <si>
    <t>Net Benefit £</t>
  </si>
  <si>
    <t>Percentage</t>
  </si>
  <si>
    <t>Recovery Uplift £</t>
  </si>
  <si>
    <t>12-month ROI %</t>
  </si>
  <si>
    <t>Confidence</t>
  </si>
  <si>
    <t>GBP</t>
  </si>
  <si>
    <t>Payback Period (months)</t>
  </si>
  <si>
    <t>Finance workbook</t>
  </si>
  <si>
    <t>Soft Benefits</t>
  </si>
  <si>
    <t>High</t>
  </si>
  <si>
    <t>Self-service Debt Payment</t>
  </si>
  <si>
    <t>Blended agent hourly cost</t>
  </si>
  <si>
    <t>Duplicate Rates</t>
  </si>
  <si>
    <t>working_days_per_month</t>
  </si>
  <si>
    <t>days</t>
  </si>
  <si>
    <t>count</t>
  </si>
  <si>
    <t>Used for admin calculations</t>
  </si>
  <si>
    <t>recovery_activity_tracker.csv</t>
  </si>
  <si>
    <t>straightforward_case_share</t>
  </si>
  <si>
    <t>ratio</t>
  </si>
  <si>
    <t>Wasted minutes on duplicates</t>
  </si>
  <si>
    <t>Operations estimate</t>
  </si>
  <si>
    <t>Medium</t>
  </si>
  <si>
    <t>Suitable for rules-driven self-service</t>
  </si>
  <si>
    <t>minutes</t>
  </si>
  <si>
    <t>avg_straightforward_case_minutes</t>
  </si>
  <si>
    <t>Operations leadership</t>
  </si>
  <si>
    <t>Current case handling time</t>
  </si>
  <si>
    <t>Metric Name</t>
  </si>
  <si>
    <t>target_straightforward_case_minutes</t>
  </si>
  <si>
    <t>Operations target</t>
  </si>
  <si>
    <t>Target after automation support</t>
  </si>
  <si>
    <t>recovery_activity_tracker.csv (duplicate_check_flag, minutes_spent)</t>
  </si>
  <si>
    <t>missed_follow_up_rate</t>
  </si>
  <si>
    <t>Calculation Logic</t>
  </si>
  <si>
    <t>wasted minutes on spreadsheet reconciliation</t>
  </si>
  <si>
    <t>Activity tracker analysis</t>
  </si>
  <si>
    <t>Annual hours saved</t>
  </si>
  <si>
    <t>Indicative rate of missed or delayed follow-up</t>
  </si>
  <si>
    <t>Hours</t>
  </si>
  <si>
    <t>recovery_uplift_for_plan_selection</t>
  </si>
  <si>
    <t>monthly case volume x minutes saved per case x 12 / 60</t>
  </si>
  <si>
    <t>Finance estimate</t>
  </si>
  <si>
    <t>Low</t>
  </si>
  <si>
    <t>Annual Benefit</t>
  </si>
  <si>
    <t>recovery_activity_tracker.csv (activity_type, minutes_spent)</t>
  </si>
  <si>
    <t>Test in sensitivity analysis</t>
  </si>
  <si>
    <t>recovery_uplift_for_promise_capture</t>
  </si>
  <si>
    <t>recovery_activity_tracker.csv, finance_assumptions.csv</t>
  </si>
  <si>
    <t>Wasted minutes on unclear actions</t>
  </si>
  <si>
    <t>annual hours saved x hourly cost</t>
  </si>
  <si>
    <t>Net Benefit</t>
  </si>
  <si>
    <t>Scenario based</t>
  </si>
  <si>
    <t>monthly_recovery_baseline</t>
  </si>
  <si>
    <t>Baseline metrics and assumptions</t>
  </si>
  <si>
    <t>recovery_activity_tracker.csv (outcome_code, minutes_spent)</t>
  </si>
  <si>
    <t>annual total benefit - implementation cost</t>
  </si>
  <si>
    <t>Wasted minutes in Total</t>
  </si>
  <si>
    <t>%</t>
  </si>
  <si>
    <t>Baseline monthly recoveries</t>
  </si>
  <si>
    <t>net benefit / implementation cost</t>
  </si>
  <si>
    <t>implementation_cost_low_complexity</t>
  </si>
  <si>
    <t>Payback Period</t>
  </si>
  <si>
    <t>Months</t>
  </si>
  <si>
    <t>Product delivery estimate</t>
  </si>
  <si>
    <t>recovery_activity_tracker.csv (minutes_spent)</t>
  </si>
  <si>
    <t>Starter figure</t>
  </si>
  <si>
    <t>implementation cost / monthly benefit</t>
  </si>
  <si>
    <t>Self-Service candidate volume</t>
  </si>
  <si>
    <t>implementation_cost_medium_complexity</t>
  </si>
  <si>
    <t>Faster payments and quicker debt recovery</t>
  </si>
  <si>
    <t>delinquent_accounts_export.csv</t>
  </si>
  <si>
    <t>Automated Cross-Channel Sync &amp; Duplication Elimination</t>
  </si>
  <si>
    <t>total delinquent account volume</t>
  </si>
  <si>
    <t>likely straightforward-case volume</t>
  </si>
  <si>
    <t>finance_assumptions.csv</t>
  </si>
  <si>
    <t>admin hours spent on manual work</t>
  </si>
  <si>
    <t>recovery_activity_tracker.csv (acitivity_type, minutes_spent)</t>
  </si>
  <si>
    <t>missed follow-up rate</t>
  </si>
  <si>
    <t>Agents will spend less working hour reconciling information and less repeated touch points</t>
  </si>
  <si>
    <t>entries</t>
  </si>
  <si>
    <t>Automated Case Triage &amp; Queue Escalation</t>
  </si>
  <si>
    <t>finance_assumptions.csv, recovery_activity_tracker.csv (next_follow_up_date)</t>
  </si>
  <si>
    <t>current handling effort (average minutes per case)</t>
  </si>
  <si>
    <t>Accounts with higher deliquency levels will not be left neglected and will have higher visibility</t>
  </si>
  <si>
    <t>Escalation Automation System</t>
  </si>
  <si>
    <t>Higher visibility to team leaders</t>
  </si>
  <si>
    <t>Automated follow-up update</t>
  </si>
  <si>
    <t>It will combat duplicates and missed follow up entries</t>
  </si>
  <si>
    <t>Rank</t>
  </si>
  <si>
    <t>Automation Opportunity</t>
  </si>
  <si>
    <t>Effort (months)</t>
  </si>
  <si>
    <t>Net Benefit (£)</t>
  </si>
  <si>
    <t>Payback (months)</t>
  </si>
  <si>
    <t>Time to Value (months)</t>
  </si>
  <si>
    <t>Recommendation</t>
  </si>
  <si>
    <t>Conservative</t>
  </si>
  <si>
    <t>Opportunitity Matrix Ranking</t>
  </si>
  <si>
    <t>Implementation Effort</t>
  </si>
  <si>
    <t>Confidence in Assumptions</t>
  </si>
  <si>
    <t>Relevance in Scope</t>
  </si>
  <si>
    <t>Phase 1</t>
  </si>
  <si>
    <t>Escalation Follow Up Update</t>
  </si>
  <si>
    <t>Optimistic</t>
  </si>
  <si>
    <t>Phase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</si>
</sst>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Ui-sans-serif"/>
    </font>
    <font>
      <sz val="11.0"/>
      <color theme="1"/>
      <name val="Arial"/>
    </font>
    <font>
      <sz val="10.0"/>
      <color rgb="FF000000"/>
      <name val="&quot;Aptos Narrow&quot;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shrinkToFit="0" vertical="bottom" wrapText="0"/>
    </xf>
    <xf borderId="1" fillId="0" fontId="6" numFmtId="0" xfId="0" applyAlignment="1" applyBorder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1" fillId="0" fontId="3" numFmtId="4" xfId="0" applyAlignment="1" applyBorder="1" applyFont="1" applyNumberFormat="1">
      <alignment readingOrder="0"/>
    </xf>
    <xf borderId="1" fillId="0" fontId="3" numFmtId="3" xfId="0" applyAlignment="1" applyBorder="1" applyFont="1" applyNumberFormat="1">
      <alignment readingOrder="0"/>
    </xf>
    <xf borderId="1" fillId="0" fontId="3" numFmtId="4" xfId="0" applyBorder="1" applyFont="1" applyNumberFormat="1"/>
    <xf borderId="1" fillId="0" fontId="3" numFmtId="0" xfId="0" applyBorder="1" applyFont="1"/>
    <xf borderId="1" fillId="0" fontId="7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3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Filipa Fonseca" id="{2b73a835-4320-4dfa-87dd-6c13dc13b29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4" dT="2026-08-14T09:35:25.00" personId="{2b73a835-4320-4dfa-87dd-6c13dc13b297}" id="{cd95a824-3b64-45d2-a982-2ae68b73a91c}" done="0">
    <x18tc:text xml:space="preserve">Hours spent on both spreadsheet reconciliation and unclear actions time by agent's hourly wage.</x18tc:text>
  </x18tc:threadedComment>
  <x18tc:threadedComment ref="E2" dT="2026-08-14T08:10:17.00" personId="{2b73a835-4320-4dfa-87dd-6c13dc13b297}" id="{5048db4e-630c-497e-acda-688129d20c2c}" done="0">
    <x18tc:text xml:space="preserve">straightforward case volume timed by average agent time in a case timed by the agent hourly salary</x18tc:text>
  </x18tc:threadedComment>
  <x18tc:threadedComment ref="E5" dT="2026-08-14T09:37:42.00" personId="{2b73a835-4320-4dfa-87dd-6c13dc13b297}" id="{bde09f39-7e7a-4da9-afdb-e6cac926569c}" done="0">
    <x18tc:text xml:space="preserve">Hours spent on manual work timed by agent hourly wage.</x18tc:text>
  </x18tc:threadedComment>
  <x18tc:threadedComment ref="E3" dT="2026-08-14T09:25:57.00" personId="{2b73a835-4320-4dfa-87dd-6c13dc13b297}" id="{c3d3c6f5-8895-4a47-8bf2-7ddcb567162e}" done="0">
    <x18tc:text xml:space="preserve">Wasted hours on duplicates timed by the agents hourly pay</x18tc:text>
  </x18tc:threadedComment>
  <x18tc:threadedComment ref="D3" dT="2026-08-13T20:46:05.00" personId="{2b73a835-4320-4dfa-87dd-6c13dc13b297}" id="{0263eb3a-ef94-4995-be95-43939683b5b4}" done="0">
    <x18tc:text xml:space="preserve">Hours spent in in early delinquency accounts spread over a year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3" max="3" width="14.5"/>
    <col customWidth="1" min="4" max="4" width="23.5"/>
    <col customWidth="1" min="5" max="5" width="13.88"/>
    <col customWidth="1" min="6" max="6" width="41.0"/>
    <col customWidth="1" min="7" max="7" width="15.5"/>
    <col customWidth="1" min="8" max="8" width="13.88"/>
  </cols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8</v>
      </c>
      <c r="F1" s="1" t="s">
        <v>10</v>
      </c>
      <c r="H1" s="4"/>
    </row>
    <row r="2">
      <c r="A2" s="6" t="s">
        <v>13</v>
      </c>
      <c r="B2" s="7">
        <v>22.0</v>
      </c>
      <c r="C2" s="6" t="s">
        <v>19</v>
      </c>
      <c r="D2" s="6" t="s">
        <v>21</v>
      </c>
      <c r="E2" s="6" t="s">
        <v>23</v>
      </c>
      <c r="F2" s="6" t="s">
        <v>25</v>
      </c>
    </row>
    <row r="3">
      <c r="A3" s="6" t="s">
        <v>27</v>
      </c>
      <c r="B3" s="7">
        <v>21.0</v>
      </c>
      <c r="C3" s="6" t="s">
        <v>28</v>
      </c>
      <c r="D3" s="6" t="s">
        <v>21</v>
      </c>
      <c r="E3" s="6" t="s">
        <v>23</v>
      </c>
      <c r="F3" s="6" t="s">
        <v>30</v>
      </c>
    </row>
    <row r="4">
      <c r="A4" s="6" t="s">
        <v>32</v>
      </c>
      <c r="B4" s="7">
        <v>0.38</v>
      </c>
      <c r="C4" s="6" t="s">
        <v>33</v>
      </c>
      <c r="D4" s="6" t="s">
        <v>35</v>
      </c>
      <c r="E4" s="6" t="s">
        <v>36</v>
      </c>
      <c r="F4" s="6" t="s">
        <v>37</v>
      </c>
    </row>
    <row r="5">
      <c r="A5" s="6" t="s">
        <v>39</v>
      </c>
      <c r="B5" s="7">
        <v>18.0</v>
      </c>
      <c r="C5" s="6" t="s">
        <v>38</v>
      </c>
      <c r="D5" s="6" t="s">
        <v>40</v>
      </c>
      <c r="E5" s="6" t="s">
        <v>36</v>
      </c>
      <c r="F5" s="6" t="s">
        <v>41</v>
      </c>
    </row>
    <row r="6">
      <c r="A6" s="6" t="s">
        <v>43</v>
      </c>
      <c r="B6" s="7">
        <v>10.0</v>
      </c>
      <c r="C6" s="6" t="s">
        <v>38</v>
      </c>
      <c r="D6" s="6" t="s">
        <v>44</v>
      </c>
      <c r="E6" s="6" t="s">
        <v>36</v>
      </c>
      <c r="F6" s="6" t="s">
        <v>45</v>
      </c>
    </row>
    <row r="7">
      <c r="A7" s="6" t="s">
        <v>47</v>
      </c>
      <c r="B7" s="7">
        <v>0.14</v>
      </c>
      <c r="C7" s="6" t="s">
        <v>33</v>
      </c>
      <c r="D7" s="6" t="s">
        <v>50</v>
      </c>
      <c r="E7" s="6" t="s">
        <v>36</v>
      </c>
      <c r="F7" s="6" t="s">
        <v>52</v>
      </c>
    </row>
    <row r="8">
      <c r="A8" s="6" t="s">
        <v>54</v>
      </c>
      <c r="B8" s="7">
        <v>0.04</v>
      </c>
      <c r="C8" s="6" t="s">
        <v>33</v>
      </c>
      <c r="D8" s="6" t="s">
        <v>56</v>
      </c>
      <c r="E8" s="6" t="s">
        <v>57</v>
      </c>
      <c r="F8" s="6" t="s">
        <v>60</v>
      </c>
    </row>
    <row r="9">
      <c r="A9" s="6" t="s">
        <v>61</v>
      </c>
      <c r="B9" s="7">
        <v>0.025</v>
      </c>
      <c r="C9" s="6" t="s">
        <v>33</v>
      </c>
      <c r="D9" s="6" t="s">
        <v>56</v>
      </c>
      <c r="E9" s="6" t="s">
        <v>57</v>
      </c>
      <c r="F9" s="6" t="s">
        <v>66</v>
      </c>
    </row>
    <row r="10">
      <c r="A10" s="6" t="s">
        <v>67</v>
      </c>
      <c r="B10" s="7">
        <v>8000000.0</v>
      </c>
      <c r="C10" s="6" t="s">
        <v>19</v>
      </c>
      <c r="D10" s="6" t="s">
        <v>21</v>
      </c>
      <c r="E10" s="6" t="s">
        <v>36</v>
      </c>
      <c r="F10" s="6" t="s">
        <v>73</v>
      </c>
    </row>
    <row r="11">
      <c r="A11" s="6" t="s">
        <v>75</v>
      </c>
      <c r="B11" s="7">
        <v>45000.0</v>
      </c>
      <c r="C11" s="6" t="s">
        <v>19</v>
      </c>
      <c r="D11" s="6" t="s">
        <v>78</v>
      </c>
      <c r="E11" s="6" t="s">
        <v>36</v>
      </c>
      <c r="F11" s="6" t="s">
        <v>80</v>
      </c>
    </row>
    <row r="12">
      <c r="A12" s="6" t="s">
        <v>83</v>
      </c>
      <c r="B12" s="7">
        <v>85000.0</v>
      </c>
      <c r="C12" s="6" t="s">
        <v>19</v>
      </c>
      <c r="D12" s="6" t="s">
        <v>78</v>
      </c>
      <c r="E12" s="6" t="s">
        <v>36</v>
      </c>
      <c r="F12" s="6" t="s">
        <v>80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5" max="5" width="58.63"/>
    <col customWidth="1" min="7" max="7" width="43.0"/>
  </cols>
  <sheetData>
    <row r="1">
      <c r="A1" s="3" t="s">
        <v>1</v>
      </c>
      <c r="B1" s="3" t="s">
        <v>3</v>
      </c>
      <c r="C1" s="3" t="s">
        <v>12</v>
      </c>
      <c r="D1" s="3" t="s">
        <v>15</v>
      </c>
      <c r="E1" s="3" t="s">
        <v>6</v>
      </c>
      <c r="F1" s="3" t="s">
        <v>18</v>
      </c>
      <c r="G1" s="8" t="s">
        <v>10</v>
      </c>
    </row>
    <row r="2">
      <c r="A2" s="3" t="s">
        <v>26</v>
      </c>
      <c r="B2" s="3">
        <v>2020.0</v>
      </c>
      <c r="C2" s="3" t="s">
        <v>29</v>
      </c>
      <c r="D2" s="9">
        <v>20.42</v>
      </c>
      <c r="E2" s="3" t="s">
        <v>31</v>
      </c>
      <c r="F2" s="3" t="s">
        <v>23</v>
      </c>
    </row>
    <row r="3">
      <c r="A3" s="3" t="s">
        <v>34</v>
      </c>
      <c r="B3" s="10">
        <v>13806.0</v>
      </c>
      <c r="C3" s="3" t="s">
        <v>38</v>
      </c>
      <c r="D3" s="11">
        <f>(B3*100)/B6</f>
        <v>19.94337388</v>
      </c>
      <c r="E3" s="3" t="s">
        <v>46</v>
      </c>
      <c r="F3" s="3" t="s">
        <v>23</v>
      </c>
    </row>
    <row r="4">
      <c r="A4" s="3" t="s">
        <v>49</v>
      </c>
      <c r="B4" s="10">
        <v>13123.0</v>
      </c>
      <c r="C4" s="3" t="s">
        <v>38</v>
      </c>
      <c r="D4" s="11">
        <f>(B4*100)/B6</f>
        <v>18.95675035</v>
      </c>
      <c r="E4" s="3" t="s">
        <v>59</v>
      </c>
      <c r="F4" s="3" t="s">
        <v>23</v>
      </c>
    </row>
    <row r="5">
      <c r="A5" s="3" t="s">
        <v>63</v>
      </c>
      <c r="B5" s="10">
        <v>8897.0</v>
      </c>
      <c r="C5" s="3" t="s">
        <v>38</v>
      </c>
      <c r="D5" s="11">
        <f>(B5*100)/B6</f>
        <v>12.85210759</v>
      </c>
      <c r="E5" s="3" t="s">
        <v>69</v>
      </c>
      <c r="F5" s="3" t="s">
        <v>36</v>
      </c>
    </row>
    <row r="6">
      <c r="A6" s="3" t="s">
        <v>71</v>
      </c>
      <c r="B6" s="10">
        <v>69226.0</v>
      </c>
      <c r="C6" s="3" t="s">
        <v>38</v>
      </c>
      <c r="D6" s="11">
        <f>(B6*100)/B6</f>
        <v>100</v>
      </c>
      <c r="E6" s="3" t="s">
        <v>79</v>
      </c>
      <c r="F6" s="3" t="s">
        <v>23</v>
      </c>
    </row>
    <row r="7">
      <c r="A7" s="3" t="s">
        <v>82</v>
      </c>
      <c r="B7" s="3">
        <v>2516.0</v>
      </c>
      <c r="C7" s="3" t="s">
        <v>29</v>
      </c>
      <c r="D7" s="9">
        <v>77.51</v>
      </c>
      <c r="E7" s="3" t="s">
        <v>85</v>
      </c>
      <c r="F7" s="3" t="s">
        <v>36</v>
      </c>
    </row>
    <row r="8">
      <c r="A8" s="3" t="s">
        <v>87</v>
      </c>
      <c r="B8" s="3">
        <v>3246.0</v>
      </c>
      <c r="C8" s="3" t="s">
        <v>29</v>
      </c>
      <c r="D8" s="11"/>
      <c r="E8" s="3" t="s">
        <v>85</v>
      </c>
      <c r="F8" s="3" t="s">
        <v>23</v>
      </c>
    </row>
    <row r="9">
      <c r="A9" s="3" t="s">
        <v>88</v>
      </c>
      <c r="B9" s="3">
        <v>1233.0</v>
      </c>
      <c r="C9" s="3" t="s">
        <v>29</v>
      </c>
      <c r="D9" s="9">
        <v>38.0</v>
      </c>
      <c r="E9" s="3" t="s">
        <v>89</v>
      </c>
      <c r="F9" s="3" t="s">
        <v>36</v>
      </c>
    </row>
    <row r="10">
      <c r="A10" s="3" t="s">
        <v>90</v>
      </c>
      <c r="B10" s="3">
        <v>500.4</v>
      </c>
      <c r="C10" s="3" t="s">
        <v>53</v>
      </c>
      <c r="D10" s="11"/>
      <c r="E10" s="3" t="s">
        <v>91</v>
      </c>
      <c r="F10" s="3" t="s">
        <v>23</v>
      </c>
      <c r="G10" s="8"/>
    </row>
    <row r="11">
      <c r="A11" s="3" t="s">
        <v>92</v>
      </c>
      <c r="B11" s="3">
        <v>1465.0</v>
      </c>
      <c r="C11" s="3" t="s">
        <v>94</v>
      </c>
      <c r="D11" s="9">
        <v>0.1481</v>
      </c>
      <c r="E11" s="3" t="s">
        <v>96</v>
      </c>
      <c r="F11" s="3" t="s">
        <v>36</v>
      </c>
    </row>
    <row r="12">
      <c r="A12" s="3" t="s">
        <v>97</v>
      </c>
      <c r="B12" s="3">
        <v>21.54</v>
      </c>
      <c r="C12" s="3" t="s">
        <v>38</v>
      </c>
      <c r="D12" s="11"/>
      <c r="E12" s="3" t="s">
        <v>59</v>
      </c>
      <c r="F12" s="3" t="s">
        <v>36</v>
      </c>
    </row>
    <row r="13">
      <c r="A13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75"/>
    <col customWidth="1" min="2" max="2" width="18.75"/>
    <col customWidth="1" min="3" max="3" width="23.88"/>
    <col customWidth="1" min="4" max="7" width="30.63"/>
    <col customWidth="1" min="8" max="8" width="15.38"/>
    <col customWidth="1" min="9" max="9" width="37.13"/>
    <col customWidth="1" min="10" max="10" width="69.13"/>
  </cols>
  <sheetData>
    <row r="1">
      <c r="A1" s="2" t="s">
        <v>2</v>
      </c>
      <c r="B1" s="2" t="s">
        <v>5</v>
      </c>
      <c r="C1" s="2" t="s">
        <v>7</v>
      </c>
      <c r="D1" s="2" t="s">
        <v>9</v>
      </c>
      <c r="E1" s="5" t="s">
        <v>11</v>
      </c>
      <c r="F1" s="5" t="s">
        <v>14</v>
      </c>
      <c r="G1" s="5" t="s">
        <v>16</v>
      </c>
      <c r="H1" s="3" t="s">
        <v>17</v>
      </c>
      <c r="I1" s="3" t="s">
        <v>20</v>
      </c>
      <c r="J1" s="3" t="s">
        <v>22</v>
      </c>
    </row>
    <row r="2">
      <c r="A2" s="3" t="s">
        <v>24</v>
      </c>
      <c r="B2" s="3">
        <v>45000.0</v>
      </c>
      <c r="C2" s="3">
        <v>12.0</v>
      </c>
      <c r="D2" s="3">
        <f>((('Baseline Metrics'!B12*1233)/60)/2)*12</f>
        <v>2655.882</v>
      </c>
      <c r="E2" s="3">
        <f t="shared" ref="E2:E6" si="1">(D2*22)</f>
        <v>58429.404</v>
      </c>
      <c r="F2" s="12">
        <f t="shared" ref="F2:F6" si="2"> E2-B2</f>
        <v>13429.404</v>
      </c>
      <c r="G2" s="12">
        <f>Assumptions!B10*Assumptions!B9</f>
        <v>200000</v>
      </c>
      <c r="H2" s="9">
        <f t="shared" ref="H2:H6" si="3">F2/B2</f>
        <v>0.2984312</v>
      </c>
      <c r="I2" s="9">
        <f t="shared" ref="I2:I6" si="4">B2/(E2/12)</f>
        <v>9.241922098</v>
      </c>
      <c r="J2" s="3" t="s">
        <v>84</v>
      </c>
    </row>
    <row r="3">
      <c r="A3" s="3" t="s">
        <v>86</v>
      </c>
      <c r="B3" s="3">
        <v>20000.0</v>
      </c>
      <c r="C3" s="3">
        <v>6.0</v>
      </c>
      <c r="D3" s="3">
        <f>((('Baseline Metrics'!B3))/2)*12/60</f>
        <v>1380.6</v>
      </c>
      <c r="E3" s="3">
        <f t="shared" si="1"/>
        <v>30373.2</v>
      </c>
      <c r="F3" s="12">
        <f t="shared" si="2"/>
        <v>10373.2</v>
      </c>
      <c r="G3" s="3">
        <f>Assumptions!B8*Assumptions!B10</f>
        <v>320000</v>
      </c>
      <c r="H3" s="9">
        <f t="shared" si="3"/>
        <v>0.51866</v>
      </c>
      <c r="I3" s="9">
        <f t="shared" si="4"/>
        <v>7.901702817</v>
      </c>
      <c r="J3" s="3" t="s">
        <v>93</v>
      </c>
    </row>
    <row r="4">
      <c r="A4" s="3" t="s">
        <v>95</v>
      </c>
      <c r="B4" s="3">
        <v>10000.0</v>
      </c>
      <c r="C4" s="3">
        <v>6.0</v>
      </c>
      <c r="D4" s="12">
        <f>((('Baseline Metrics'!B4+'Baseline Metrics'!B5)/2)*12)/60</f>
        <v>2202</v>
      </c>
      <c r="E4" s="3">
        <f t="shared" si="1"/>
        <v>48444</v>
      </c>
      <c r="F4" s="12">
        <f t="shared" si="2"/>
        <v>38444</v>
      </c>
      <c r="G4" s="12">
        <f>Assumptions!B10*Assumptions!B8</f>
        <v>320000</v>
      </c>
      <c r="H4" s="9">
        <f t="shared" si="3"/>
        <v>3.8444</v>
      </c>
      <c r="I4" s="9">
        <f t="shared" si="4"/>
        <v>2.477086946</v>
      </c>
      <c r="J4" s="3" t="s">
        <v>98</v>
      </c>
    </row>
    <row r="5">
      <c r="A5" s="13" t="s">
        <v>99</v>
      </c>
      <c r="B5" s="3">
        <v>5000.0</v>
      </c>
      <c r="C5" s="3">
        <v>3.0</v>
      </c>
      <c r="D5" s="12">
        <f>((('Baseline Metrics'!B10 + 'Baseline Metrics'!B5)/ 2)*12)/60</f>
        <v>939.74</v>
      </c>
      <c r="E5" s="3">
        <f t="shared" si="1"/>
        <v>20674.28</v>
      </c>
      <c r="F5" s="12">
        <f t="shared" si="2"/>
        <v>15674.28</v>
      </c>
      <c r="G5" s="12">
        <f>G4</f>
        <v>320000</v>
      </c>
      <c r="H5" s="9">
        <f t="shared" si="3"/>
        <v>3.134856</v>
      </c>
      <c r="I5" s="9">
        <f t="shared" si="4"/>
        <v>2.902156689</v>
      </c>
      <c r="J5" s="3" t="s">
        <v>100</v>
      </c>
    </row>
    <row r="6">
      <c r="A6" s="13" t="s">
        <v>101</v>
      </c>
      <c r="B6" s="3">
        <v>10000.0</v>
      </c>
      <c r="C6" s="3">
        <v>3.0</v>
      </c>
      <c r="D6" s="12">
        <f>(('Baseline Metrics'!B5/2)*12)/60</f>
        <v>889.7</v>
      </c>
      <c r="E6" s="3">
        <f t="shared" si="1"/>
        <v>19573.4</v>
      </c>
      <c r="F6" s="12">
        <f t="shared" si="2"/>
        <v>9573.4</v>
      </c>
      <c r="G6" s="12">
        <f>G4</f>
        <v>320000</v>
      </c>
      <c r="H6" s="9">
        <f t="shared" si="3"/>
        <v>0.95734</v>
      </c>
      <c r="I6" s="9">
        <f t="shared" si="4"/>
        <v>6.130769309</v>
      </c>
      <c r="J6" s="3" t="s">
        <v>102</v>
      </c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2.25"/>
    <col customWidth="1" min="3" max="3" width="41.75"/>
    <col customWidth="1" min="4" max="4" width="42.88"/>
  </cols>
  <sheetData>
    <row r="1">
      <c r="A1" s="3" t="s">
        <v>42</v>
      </c>
      <c r="B1" s="3" t="s">
        <v>12</v>
      </c>
      <c r="C1" s="3" t="s">
        <v>6</v>
      </c>
      <c r="D1" s="3" t="s">
        <v>48</v>
      </c>
    </row>
    <row r="2">
      <c r="A2" s="3" t="s">
        <v>51</v>
      </c>
      <c r="B2" s="3" t="s">
        <v>53</v>
      </c>
      <c r="C2" s="3" t="s">
        <v>31</v>
      </c>
      <c r="D2" s="3" t="s">
        <v>55</v>
      </c>
    </row>
    <row r="3">
      <c r="A3" s="3" t="s">
        <v>58</v>
      </c>
      <c r="B3" s="3" t="s">
        <v>19</v>
      </c>
      <c r="C3" s="3" t="s">
        <v>62</v>
      </c>
      <c r="D3" s="3" t="s">
        <v>64</v>
      </c>
    </row>
    <row r="4">
      <c r="A4" s="3" t="s">
        <v>65</v>
      </c>
      <c r="B4" s="3" t="s">
        <v>19</v>
      </c>
      <c r="C4" s="3" t="s">
        <v>68</v>
      </c>
      <c r="D4" s="3" t="s">
        <v>70</v>
      </c>
    </row>
    <row r="5">
      <c r="A5" s="3" t="s">
        <v>17</v>
      </c>
      <c r="B5" s="3" t="s">
        <v>72</v>
      </c>
      <c r="C5" s="3" t="s">
        <v>68</v>
      </c>
      <c r="D5" s="3" t="s">
        <v>74</v>
      </c>
    </row>
    <row r="6">
      <c r="A6" s="3" t="s">
        <v>76</v>
      </c>
      <c r="B6" s="3" t="s">
        <v>77</v>
      </c>
      <c r="C6" s="3" t="s">
        <v>68</v>
      </c>
      <c r="D6" s="3" t="s">
        <v>81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75"/>
    <col customWidth="1" min="3" max="3" width="16.75"/>
    <col customWidth="1" min="4" max="4" width="21.25"/>
    <col customWidth="1" min="5" max="5" width="15.88"/>
  </cols>
  <sheetData>
    <row r="1">
      <c r="A1" s="8" t="s">
        <v>110</v>
      </c>
      <c r="B1" s="8"/>
      <c r="C1" s="8"/>
      <c r="D1" s="8"/>
      <c r="E1" s="8"/>
    </row>
    <row r="2">
      <c r="A2" s="3" t="s">
        <v>111</v>
      </c>
      <c r="B2" s="3" t="s">
        <v>3</v>
      </c>
      <c r="C2" s="3" t="s">
        <v>112</v>
      </c>
      <c r="D2" s="3" t="s">
        <v>113</v>
      </c>
      <c r="E2" s="3" t="s">
        <v>114</v>
      </c>
    </row>
    <row r="3">
      <c r="A3" s="3" t="s">
        <v>24</v>
      </c>
      <c r="B3" s="3">
        <v>5.0</v>
      </c>
      <c r="C3" s="3">
        <v>5.0</v>
      </c>
      <c r="D3" s="3">
        <v>5.0</v>
      </c>
      <c r="E3" s="3">
        <v>5.0</v>
      </c>
    </row>
    <row r="4">
      <c r="A4" s="3" t="s">
        <v>86</v>
      </c>
      <c r="B4" s="3">
        <v>4.0</v>
      </c>
      <c r="C4" s="3">
        <v>4.0</v>
      </c>
      <c r="D4" s="3">
        <v>1.0</v>
      </c>
      <c r="E4" s="3">
        <v>1.0</v>
      </c>
    </row>
    <row r="5">
      <c r="A5" s="3" t="s">
        <v>95</v>
      </c>
      <c r="B5" s="3">
        <v>3.0</v>
      </c>
      <c r="C5" s="3">
        <v>3.0</v>
      </c>
      <c r="D5" s="3">
        <v>2.0</v>
      </c>
      <c r="E5" s="3">
        <v>2.0</v>
      </c>
    </row>
    <row r="6">
      <c r="A6" s="13" t="s">
        <v>99</v>
      </c>
      <c r="B6" s="3">
        <v>1.0</v>
      </c>
      <c r="C6" s="3">
        <v>1.0</v>
      </c>
      <c r="D6" s="3">
        <v>3.0</v>
      </c>
      <c r="E6" s="3">
        <v>4.0</v>
      </c>
    </row>
    <row r="7">
      <c r="A7" s="13" t="s">
        <v>101</v>
      </c>
      <c r="B7" s="3">
        <v>2.0</v>
      </c>
      <c r="C7" s="3">
        <v>2.0</v>
      </c>
      <c r="D7" s="3">
        <v>4.0</v>
      </c>
      <c r="E7" s="3">
        <v>3.0</v>
      </c>
    </row>
    <row r="10">
      <c r="A10" s="8" t="s">
        <v>117</v>
      </c>
    </row>
    <row r="11">
      <c r="A11" s="3" t="s">
        <v>111</v>
      </c>
      <c r="B11" s="3" t="s">
        <v>3</v>
      </c>
      <c r="C11" s="3" t="s">
        <v>112</v>
      </c>
      <c r="D11" s="3" t="s">
        <v>113</v>
      </c>
      <c r="E11" s="3" t="s">
        <v>114</v>
      </c>
    </row>
    <row r="12">
      <c r="A12" s="3" t="s">
        <v>24</v>
      </c>
      <c r="B12" s="3">
        <v>5.0</v>
      </c>
      <c r="C12" s="3">
        <v>5.0</v>
      </c>
      <c r="D12" s="3">
        <v>5.0</v>
      </c>
      <c r="E12" s="3">
        <v>5.0</v>
      </c>
    </row>
    <row r="13">
      <c r="A13" s="3" t="s">
        <v>86</v>
      </c>
      <c r="B13" s="3">
        <v>4.0</v>
      </c>
      <c r="C13" s="3">
        <v>4.0</v>
      </c>
      <c r="D13" s="3">
        <v>1.0</v>
      </c>
      <c r="E13" s="3">
        <v>1.0</v>
      </c>
    </row>
    <row r="14">
      <c r="A14" s="3" t="s">
        <v>95</v>
      </c>
      <c r="B14" s="3">
        <v>3.0</v>
      </c>
      <c r="C14" s="3">
        <v>3.0</v>
      </c>
      <c r="D14" s="3">
        <v>2.0</v>
      </c>
      <c r="E14" s="3">
        <v>2.0</v>
      </c>
    </row>
    <row r="15">
      <c r="A15" s="13" t="s">
        <v>99</v>
      </c>
      <c r="B15" s="3">
        <v>1.0</v>
      </c>
      <c r="C15" s="3">
        <v>1.0</v>
      </c>
      <c r="D15" s="3">
        <v>3.0</v>
      </c>
      <c r="E15" s="3">
        <v>4.0</v>
      </c>
    </row>
    <row r="16">
      <c r="A16" s="13" t="s">
        <v>101</v>
      </c>
      <c r="B16" s="3">
        <v>2.0</v>
      </c>
      <c r="C16" s="3">
        <v>2.0</v>
      </c>
      <c r="D16" s="3">
        <v>4.0</v>
      </c>
      <c r="E16" s="3">
        <v>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75"/>
    <col customWidth="1" min="3" max="3" width="18.75"/>
    <col customWidth="1" min="4" max="4" width="12.0"/>
    <col customWidth="1" min="6" max="6" width="14.38"/>
    <col customWidth="1" min="7" max="7" width="18.13"/>
    <col customWidth="1" min="8" max="8" width="14.0"/>
  </cols>
  <sheetData>
    <row r="1">
      <c r="A1" s="3" t="s">
        <v>103</v>
      </c>
      <c r="B1" s="3" t="s">
        <v>104</v>
      </c>
      <c r="C1" s="3" t="s">
        <v>5</v>
      </c>
      <c r="D1" s="3" t="s">
        <v>105</v>
      </c>
      <c r="E1" s="3" t="s">
        <v>106</v>
      </c>
      <c r="F1" s="3" t="s">
        <v>107</v>
      </c>
      <c r="G1" s="3" t="s">
        <v>108</v>
      </c>
      <c r="H1" s="3" t="s">
        <v>109</v>
      </c>
    </row>
    <row r="2">
      <c r="A2" s="3">
        <v>1.0</v>
      </c>
      <c r="B2" s="3" t="s">
        <v>99</v>
      </c>
      <c r="C2" s="10">
        <v>5000.0</v>
      </c>
      <c r="D2" s="3">
        <v>3.0</v>
      </c>
      <c r="E2" s="10">
        <v>15674.0</v>
      </c>
      <c r="F2" s="3">
        <v>2.9</v>
      </c>
      <c r="G2" s="12">
        <f t="shared" ref="G2:G6" si="1">F2+D2</f>
        <v>5.9</v>
      </c>
      <c r="H2" s="3" t="s">
        <v>115</v>
      </c>
    </row>
    <row r="3">
      <c r="A3" s="2">
        <v>2.0</v>
      </c>
      <c r="B3" s="14" t="s">
        <v>95</v>
      </c>
      <c r="C3" s="15">
        <v>10000.0</v>
      </c>
      <c r="D3" s="16">
        <v>6.0</v>
      </c>
      <c r="E3" s="15">
        <v>38444.0</v>
      </c>
      <c r="F3" s="16">
        <v>2.48</v>
      </c>
      <c r="G3" s="17">
        <f t="shared" si="1"/>
        <v>8.48</v>
      </c>
      <c r="H3" s="3" t="s">
        <v>115</v>
      </c>
    </row>
    <row r="4">
      <c r="A4" s="3">
        <v>3.0</v>
      </c>
      <c r="B4" s="14" t="s">
        <v>116</v>
      </c>
      <c r="C4" s="15">
        <v>10000.0</v>
      </c>
      <c r="D4" s="16">
        <v>3.0</v>
      </c>
      <c r="E4" s="15">
        <v>9573.0</v>
      </c>
      <c r="F4" s="16">
        <v>6.13</v>
      </c>
      <c r="G4" s="17">
        <f t="shared" si="1"/>
        <v>9.13</v>
      </c>
      <c r="H4" s="3" t="s">
        <v>115</v>
      </c>
    </row>
    <row r="5">
      <c r="A5" s="3">
        <v>4.0</v>
      </c>
      <c r="B5" s="3" t="s">
        <v>86</v>
      </c>
      <c r="C5" s="10">
        <v>20000.0</v>
      </c>
      <c r="D5" s="3">
        <v>6.0</v>
      </c>
      <c r="E5" s="10">
        <v>10373.0</v>
      </c>
      <c r="F5" s="3">
        <v>7.9</v>
      </c>
      <c r="G5" s="12">
        <f t="shared" si="1"/>
        <v>13.9</v>
      </c>
      <c r="H5" s="3" t="s">
        <v>118</v>
      </c>
    </row>
    <row r="6">
      <c r="A6" s="3">
        <v>5.0</v>
      </c>
      <c r="B6" s="13" t="s">
        <v>24</v>
      </c>
      <c r="C6" s="10">
        <v>45000.0</v>
      </c>
      <c r="D6" s="3">
        <v>12.0</v>
      </c>
      <c r="E6" s="10">
        <v>13429.0</v>
      </c>
      <c r="F6" s="3">
        <v>9.24</v>
      </c>
      <c r="G6" s="12">
        <f t="shared" si="1"/>
        <v>21.24</v>
      </c>
      <c r="H6" s="3" t="s">
        <v>118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75"/>
    <col customWidth="1" min="3" max="3" width="18.75"/>
    <col customWidth="1" min="6" max="6" width="14.38"/>
    <col customWidth="1" min="7" max="7" width="18.13"/>
    <col customWidth="1" min="8" max="8" width="14.0"/>
  </cols>
  <sheetData>
    <row r="1">
      <c r="A1" s="3" t="s">
        <v>103</v>
      </c>
      <c r="B1" s="3" t="s">
        <v>104</v>
      </c>
      <c r="C1" s="3" t="s">
        <v>5</v>
      </c>
      <c r="D1" s="3" t="s">
        <v>105</v>
      </c>
      <c r="E1" s="3" t="s">
        <v>106</v>
      </c>
      <c r="F1" s="3" t="s">
        <v>107</v>
      </c>
      <c r="G1" s="3" t="s">
        <v>108</v>
      </c>
      <c r="H1" s="3" t="s">
        <v>109</v>
      </c>
    </row>
    <row r="2">
      <c r="A2" s="3">
        <v>1.0</v>
      </c>
      <c r="B2" s="3" t="s">
        <v>99</v>
      </c>
      <c r="C2" s="10">
        <f>'Ranked View (conservative)'!C2- ('Ranked View (conservative)'!C2*0.15)</f>
        <v>4250</v>
      </c>
      <c r="D2" s="3">
        <f>'Ranked View (conservative)'!D2 - 1</f>
        <v>2</v>
      </c>
      <c r="E2" s="10">
        <f> 'Ranked View (conservative)'!E2 + ('Ranked View (conservative)'!E2*0.15)</f>
        <v>18025.1</v>
      </c>
      <c r="F2" s="3">
        <f> 'Ranked View (conservative)'!F2 - 1</f>
        <v>1.9</v>
      </c>
      <c r="G2" s="12">
        <f t="shared" ref="G2:G6" si="1">F2+D2</f>
        <v>3.9</v>
      </c>
      <c r="H2" s="3" t="s">
        <v>115</v>
      </c>
    </row>
    <row r="3">
      <c r="A3" s="2">
        <v>2.0</v>
      </c>
      <c r="B3" s="14" t="s">
        <v>95</v>
      </c>
      <c r="C3" s="10">
        <f>'Ranked View (conservative)'!C3- ('Ranked View (conservative)'!C3*0.15)</f>
        <v>8500</v>
      </c>
      <c r="D3" s="3">
        <f>'Ranked View (conservative)'!D3 - 1</f>
        <v>5</v>
      </c>
      <c r="E3" s="10">
        <f> 'Ranked View (conservative)'!E3 + ('Ranked View (conservative)'!E3*0.15)</f>
        <v>44210.6</v>
      </c>
      <c r="F3" s="3">
        <f> 'Ranked View (conservative)'!F3 - 1</f>
        <v>1.48</v>
      </c>
      <c r="G3" s="17">
        <f t="shared" si="1"/>
        <v>6.48</v>
      </c>
      <c r="H3" s="3" t="s">
        <v>115</v>
      </c>
    </row>
    <row r="4">
      <c r="A4" s="3">
        <v>3.0</v>
      </c>
      <c r="B4" s="14" t="s">
        <v>116</v>
      </c>
      <c r="C4" s="10">
        <f>'Ranked View (conservative)'!C4- ('Ranked View (conservative)'!C4*0.15)</f>
        <v>8500</v>
      </c>
      <c r="D4" s="3">
        <f>'Ranked View (conservative)'!D4 - 1</f>
        <v>2</v>
      </c>
      <c r="E4" s="10">
        <f> 'Ranked View (conservative)'!E4 + ('Ranked View (conservative)'!E4*0.15)</f>
        <v>11008.95</v>
      </c>
      <c r="F4" s="3">
        <f> 'Ranked View (conservative)'!F4 - 1</f>
        <v>5.13</v>
      </c>
      <c r="G4" s="17">
        <f t="shared" si="1"/>
        <v>7.13</v>
      </c>
      <c r="H4" s="3" t="s">
        <v>115</v>
      </c>
    </row>
    <row r="5">
      <c r="A5" s="3">
        <v>4.0</v>
      </c>
      <c r="B5" s="3" t="s">
        <v>86</v>
      </c>
      <c r="C5" s="10">
        <f>'Ranked View (conservative)'!C5- ('Ranked View (conservative)'!C5*0.15)</f>
        <v>17000</v>
      </c>
      <c r="D5" s="3">
        <f>'Ranked View (conservative)'!D5 - 1</f>
        <v>5</v>
      </c>
      <c r="E5" s="10">
        <f> 'Ranked View (conservative)'!E5 + ('Ranked View (conservative)'!E5*0.15)</f>
        <v>11928.95</v>
      </c>
      <c r="F5" s="3">
        <f> 'Ranked View (conservative)'!F5 - 1</f>
        <v>6.9</v>
      </c>
      <c r="G5" s="12">
        <f t="shared" si="1"/>
        <v>11.9</v>
      </c>
      <c r="H5" s="3" t="s">
        <v>115</v>
      </c>
    </row>
    <row r="6">
      <c r="A6" s="3">
        <v>5.0</v>
      </c>
      <c r="B6" s="13" t="s">
        <v>24</v>
      </c>
      <c r="C6" s="10">
        <f>'Ranked View (conservative)'!C6- ('Ranked View (conservative)'!C6*0.15)</f>
        <v>38250</v>
      </c>
      <c r="D6" s="3">
        <f>'Ranked View (conservative)'!D6 - 1</f>
        <v>11</v>
      </c>
      <c r="E6" s="10">
        <f> 'Ranked View (conservative)'!E6 + ('Ranked View (conservative)'!E6*0.15)</f>
        <v>15443.35</v>
      </c>
      <c r="F6" s="3">
        <f> 'Ranked View (conservative)'!F6 - 1</f>
        <v>8.24</v>
      </c>
      <c r="G6" s="12">
        <f t="shared" si="1"/>
        <v>19.24</v>
      </c>
      <c r="H6" s="3" t="s">
        <v>118</v>
      </c>
    </row>
  </sheetData>
  <drawing r:id="rId1"/>
</worksheet>
</file>